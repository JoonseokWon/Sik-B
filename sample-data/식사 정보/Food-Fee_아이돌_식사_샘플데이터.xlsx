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fc731ec38149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e1763d90d2df4a92"/>
    <x:sheet xmlns:r="http://schemas.openxmlformats.org/officeDocument/2006/relationships" name="삼데헌 식사" sheetId="2" r:id="R7a84932faa2c49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9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  <x:font>
      <x:b/>
      <x:sz val="11"/>
      <x:color rgb="FF7F6000"/>
      <x:name val="Carlito"/>
    </x:font>
    <x:font>
      <x:sz val="11"/>
      <x:color rgb="FFE26B5B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C7E8F4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7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  <x:border>
      <x:left style="thin">
        <x:color rgb="FFE0A458"/>
      </x:left>
      <x:right style="thin">
        <x:color rgb="FFE0A458"/>
      </x:right>
      <x:top style="thin">
        <x:color rgb="FFE0A458"/>
      </x:top>
      <x:bottom style="thin">
        <x:color rgb="FFE0A458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6" fillId="7" xfId="0" applyNumberFormat="1" applyFont="1" applyFill="1" applyBorder="0"/>
    <x:xf numFmtId="0" fontId="6" fillId="8" borderId="3" xfId="0" applyNumberFormat="1" applyFont="1" applyFill="1" applyBorder="1"/>
    <x:xf numFmtId="201" fontId="6" fillId="7" xfId="0" applyNumberFormat="1" applyFont="1" applyFill="1" applyBorder="0"/>
    <x:xf numFmtId="201" fontId="6" fillId="8" borderId="3" xfId="0" applyNumberFormat="1" applyFont="1" applyFill="1" applyBorder="1"/>
    <x:xf numFmtId="201" fontId="6" fillId="7" xfId="0" applyNumberFormat="1" applyFont="1" applyFill="1" applyBorder="0" applyAlignment="1">
      <x:alignment horizontal="center"/>
    </x:xf>
    <x:xf numFmtId="201" fontId="6" fillId="8" borderId="3" xfId="0" applyNumberFormat="1" applyFont="1" applyFill="1" applyBorder="1" applyAlignment="1">
      <x:alignment horizontal="center"/>
    </x:xf>
    <x:xf numFmtId="0" fontId="6" fillId="7" xfId="0" applyNumberFormat="1" applyFont="1" applyFill="1" applyBorder="0" applyAlignment="1">
      <x:alignment horizontal="center"/>
    </x:xf>
    <x:xf numFmtId="0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/>
    <x:xf numFmtId="200" fontId="6" fillId="8" borderId="3" xfId="0" applyNumberFormat="1" applyFont="1" applyFill="1" applyBorder="1"/>
    <x:xf numFmtId="200" fontId="6" fillId="7" xfId="0" applyNumberFormat="1" applyFont="1" applyFill="1" applyBorder="0" applyAlignment="1">
      <x:alignment horizontal="right"/>
    </x:xf>
    <x:xf numFmtId="200" fontId="6" fillId="8" borderId="3" xfId="0" applyNumberFormat="1" applyFont="1" applyFill="1" applyBorder="1" applyAlignment="1">
      <x:alignment horizontal="right"/>
    </x:xf>
    <x:xf numFmtId="202" fontId="6" fillId="7" xfId="0" applyNumberFormat="1" applyFont="1" applyFill="1" applyBorder="0"/>
    <x:xf numFmtId="202" fontId="6" fillId="8" borderId="3" xfId="0" applyNumberFormat="1" applyFont="1" applyFill="1" applyBorder="1"/>
    <x:xf numFmtId="202" fontId="6" fillId="7" xfId="0" applyNumberFormat="1" applyFont="1" applyFill="1" applyBorder="0" applyAlignment="1">
      <x:alignment horizontal="center"/>
    </x:xf>
    <x:xf numFmtId="202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 applyAlignment="1">
      <x:alignment horizontal="center"/>
    </x:xf>
    <x:xf numFmtId="200" fontId="6" fillId="8" borderId="3" xfId="0" applyNumberFormat="1" applyFont="1" applyFill="1" applyBorder="1" applyAlignment="1">
      <x:alignment horizontal="center"/>
    </x:xf>
    <x:xf numFmtId="0" fontId="6" fillId="9" xfId="0" applyNumberFormat="1" applyFont="1" applyFill="1" applyBorder="0"/>
    <x:xf numFmtId="0" fontId="6" fillId="9" borderId="3" xfId="0" applyNumberFormat="1" applyFont="1" applyFill="1" applyBorder="1"/>
    <x:xf numFmtId="0" fontId="8" fillId="9" xfId="0" applyNumberFormat="1" applyFont="1" applyFill="1" applyBorder="0"/>
    <x:xf numFmtId="0" fontId="8" fillId="9" borderId="3" xfId="0" applyNumberFormat="1" applyFont="1" applyFill="1" applyBorder="1"/>
    <x:xf numFmtId="0" fontId="8" fillId="9" xfId="0" applyNumberFormat="1" applyFont="1" applyFill="1" applyBorder="0" applyAlignment="1">
      <x:alignment horizontal="center"/>
    </x:xf>
    <x:xf numFmtId="0" fontId="8" fillId="9" borderId="3" xfId="0" applyNumberFormat="1" applyFont="1" applyFill="1" applyBorder="1" applyAlignment="1">
      <x:alignment horizontal="center"/>
    </x:xf>
    <x:xf numFmtId="0" fontId="5" fillId="10" borderId="3" xfId="0" applyNumberFormat="1" applyFont="1" applyFill="1" applyBorder="1" applyAlignment="1">
      <x:alignment horizontal="center" vertical="center"/>
    </x:xf>
    <x:xf numFmtId="0" fontId="5" fillId="11" borderId="4" xfId="0" applyNumberFormat="1" applyFont="1" applyFill="1" applyBorder="1" applyAlignment="1">
      <x:alignment horizontal="center" vertical="center"/>
    </x:xf>
    <x:xf numFmtId="0" fontId="5" fillId="11" borderId="5" xfId="0" applyNumberFormat="1" applyFont="1" applyFill="1" applyBorder="1" applyAlignment="1">
      <x:alignment horizontal="center" vertical="center"/>
    </x:xf>
    <x:xf numFmtId="0" fontId="6" fillId="11" xfId="0" applyNumberFormat="1" applyFont="1" applyFill="1" applyBorder="0" applyAlignment="1">
      <x:alignment horizontal="center" vertical="center" wrapText="0"/>
    </x:xf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3718ba8dfe41c5" /><Relationship Type="http://schemas.openxmlformats.org/officeDocument/2006/relationships/theme" Target="/xl/theme/theme1.xml" Id="R221f81ae9d5e44f6" /><Relationship Type="http://schemas.openxmlformats.org/officeDocument/2006/relationships/sharedStrings" Target="/xl/sharedStrings.xml" Id="R4283415ba1dd43cf" /><Relationship Type="http://schemas.openxmlformats.org/officeDocument/2006/relationships/worksheet" Target="/xl/worksheets/sheet1.xml" Id="Re1763d90d2df4a92" /><Relationship Type="http://schemas.openxmlformats.org/officeDocument/2006/relationships/worksheet" Target="/xl/worksheets/sheet2.xml" Id="R7a84932faa2c491e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eed0a7b19643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1234efe09245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파일 전용 추가 식사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46204</x:v>
      </x:c>
      <x:c r="B6" s="26" t="str">
        <x:v>12:00</x:v>
      </x:c>
      <x:c r="C6" s="23" t="str">
        <x:v>배민 연습실 식사</x:v>
      </x:c>
      <x:c r="D6" s="32" t="n">
        <x:v>92000</x:v>
      </x:c>
      <x:c r="E6" s="38" t="str">
        <x:v>Haru, Min, Seo, Lia, Manager Park</x:v>
      </x:c>
      <x:c r="F6" s="38" t="str">
        <x:v>Manager Park</x:v>
      </x:c>
      <x:c r="G6" s="26" t="n">
        <x:v>4</x:v>
      </x:c>
      <x:c r="H6" s="35" t="n">
        <x:f>ROUND(D6/G6,0)</x:f>
        <x:v>23000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46206</x:v>
      </x:c>
      <x:c r="B7" s="27" t="str">
        <x:v>12:00</x:v>
      </x:c>
      <x:c r="C7" s="24" t="str">
        <x:v>음악방송 도시락</x:v>
      </x:c>
      <x:c r="D7" s="33" t="n">
        <x:v>165000</x:v>
      </x:c>
      <x:c r="E7" s="39" t="str">
        <x:v>Haru, Min, Seo, Lia, Noa, Manager Park</x:v>
      </x:c>
      <x:c r="F7" s="39" t="str">
        <x:v>Manager Park</x:v>
      </x:c>
      <x:c r="G7" s="27" t="n">
        <x:v>5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46209</x:v>
      </x:c>
      <x:c r="B8" s="27" t="str">
        <x:v>12:00</x:v>
      </x:c>
      <x:c r="C8" s="24" t="str">
        <x:v>라디오 대기 간식</x:v>
      </x:c>
      <x:c r="D8" s="33" t="n">
        <x:v>48000</x:v>
      </x:c>
      <x:c r="E8" s="39" t="str">
        <x:v>Min, Seo, Manager Park</x:v>
      </x:c>
      <x:c r="F8" s="39" t="str">
        <x:v>Manager Park</x:v>
      </x:c>
      <x:c r="G8" s="27" t="n">
        <x:v>2</x:v>
      </x:c>
      <x:c r="H8" s="36" t="n">
        <x:f>ROUND(D8/G8,0)</x:f>
        <x:v>24000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46212</x:v>
      </x:c>
      <x:c r="B9" s="28" t="str">
        <x:v>12:00</x:v>
      </x:c>
      <x:c r="C9" s="25" t="str">
        <x:v>안무 연습 일식</x:v>
      </x:c>
      <x:c r="D9" s="34" t="n">
        <x:v>74000</x:v>
      </x:c>
      <x:c r="E9" s="40" t="str">
        <x:v>Haru, Lia, Noa, Manager Park</x:v>
      </x:c>
      <x:c r="F9" s="40" t="str">
        <x:v>Manager Park</x:v>
      </x:c>
      <x:c r="G9" s="28" t="n">
        <x:v>3</x:v>
      </x:c>
      <x:c r="H9" s="37" t="n">
        <x:f>ROUND(D9/G9,0)</x:f>
        <x:v>24667</x:v>
      </x:c>
      <x:c r="I9" s="28" t="str">
        <x:f>IF(H9&gt;$J$3,"승인 대기","자동 처리")</x:f>
        <x:v>자동 처리</x:v>
      </x:c>
      <x:c r="J9" s="28" t="str">
        <x:v>인사 마스터</x:v>
      </x:c>
    </x:row>
    <x:row r="10">
      <x:c r="A10" s="72" t="n">
        <x:v>46214</x:v>
      </x:c>
      <x:c r="B10" s="73" t="str">
        <x:v>18:30</x:v>
      </x:c>
      <x:c r="C10" s="65" t="str">
        <x:v>팬미팅 연습 저녁</x:v>
      </x:c>
      <x:c r="D10" s="80" t="n">
        <x:v>145000</x:v>
      </x:c>
      <x:c r="E10" s="65" t="str">
        <x:v>Haru, Min, Seo, Lia, Noa, Manager Park</x:v>
      </x:c>
      <x:c r="F10" s="73" t="str">
        <x:v>Manager Park</x:v>
      </x:c>
      <x:c r="G10" s="76" t="n">
        <x:v>5</x:v>
      </x:c>
      <x:c r="H10" s="77" t="n">
        <x:f>ROUND(D10/G10,0)</x:f>
        <x:v>29000</x:v>
      </x:c>
      <x:c r="I10" s="73" t="str">
        <x:f>IF(H10&gt;$J$3,"승인 대기","자동 처리")</x:f>
        <x:v>자동 처리</x:v>
      </x:c>
      <x:c r="J10" s="73" t="str">
        <x:v>인사 마스터</x:v>
      </x:c>
    </x:row>
    <x:row r="11">
      <x:c r="A11" s="72" t="n">
        <x:v>46215</x:v>
      </x:c>
      <x:c r="B11" s="73" t="str">
        <x:v>12:10</x:v>
      </x:c>
      <x:c r="C11" s="65" t="str">
        <x:v>콘텐츠 촬영 도시락</x:v>
      </x:c>
      <x:c r="D11" s="80" t="n">
        <x:v>162000</x:v>
      </x:c>
      <x:c r="E11" s="65" t="str">
        <x:v>Haru, Seo, Noa, Manager Park</x:v>
      </x:c>
      <x:c r="F11" s="73" t="str">
        <x:v>Manager Park</x:v>
      </x:c>
      <x:c r="G11" s="76" t="n">
        <x:v>3</x:v>
      </x:c>
      <x:c r="H11" s="77" t="n">
        <x:f>ROUND(D11/G11,0)</x:f>
        <x:v>54000</x:v>
      </x:c>
      <x:c r="I11" s="73" t="str">
        <x:v>승인 완료</x:v>
      </x:c>
      <x:c r="J11" s="73" t="str">
        <x:v>인사 마스터</x:v>
      </x:c>
    </x:row>
    <x:row r="12">
      <x:c r="A12" s="72" t="n">
        <x:v>46216</x:v>
      </x:c>
      <x:c r="B12" s="73" t="str">
        <x:v>13:00</x:v>
      </x:c>
      <x:c r="C12" s="65" t="str">
        <x:v>월간회의 점심</x:v>
      </x:c>
      <x:c r="D12" s="80" t="n">
        <x:v>138000</x:v>
      </x:c>
      <x:c r="E12" s="65" t="str">
        <x:v>Haru, Min, Seo, Lia, Noa, Manager Park</x:v>
      </x:c>
      <x:c r="F12" s="73" t="str">
        <x:v>Manager Park</x:v>
      </x:c>
      <x:c r="G12" s="76" t="n">
        <x:v>5</x:v>
      </x:c>
      <x:c r="H12" s="77" t="n">
        <x:f>ROUND(D12/G12,0)</x:f>
        <x:v>27600</x:v>
      </x:c>
      <x:c r="I12" s="73" t="str">
        <x:f>IF(H12&gt;$J$3,"승인 대기","자동 처리")</x:f>
        <x:v>자동 처리</x:v>
      </x:c>
      <x:c r="J12" s="73" t="str">
        <x:v>인사 마스터</x:v>
      </x:c>
    </x:row>
    <x:row r="13">
      <x:c r="A13" s="74" t="n">
        <x:v>46218</x:v>
      </x:c>
      <x:c r="B13" s="75" t="str">
        <x:v>18:20</x:v>
      </x:c>
      <x:c r="C13" s="69" t="str">
        <x:v>마감 리허설 저녁</x:v>
      </x:c>
      <x:c r="D13" s="81" t="n">
        <x:v>175000</x:v>
      </x:c>
      <x:c r="E13" s="69" t="str">
        <x:v>Haru, Min, Seo, Lia, Noa, Manager Park</x:v>
      </x:c>
      <x:c r="F13" s="75" t="str">
        <x:v>Manager Park</x:v>
      </x:c>
      <x:c r="G13" s="78" t="n">
        <x:v>5</x:v>
      </x:c>
      <x:c r="H13" s="79" t="n">
        <x:f>ROUND(D13/G13,0)</x:f>
        <x:v>35000</x:v>
      </x:c>
      <x:c r="I13" s="75" t="str">
        <x:f>IF(H13&gt;$J$3,"승인 대기","자동 처리")</x:f>
        <x:v>승인 대기</x:v>
      </x:c>
      <x:c r="J13" s="75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94eed0a7b196433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2026-07-22 , 2026-07-21 동일 시간대 3건 승인 확인용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85" t="str">
        <x:v>동시간대 승인 기준</x:v>
      </x:c>
      <x:c r="J4" s="85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46219</x:v>
      </x:c>
      <x:c r="B6" s="26" t="str">
        <x:v>12:15</x:v>
      </x:c>
      <x:c r="C6" s="23" t="str">
        <x:v>합주실 점심</x:v>
      </x:c>
      <x:c r="D6" s="32" t="n">
        <x:v>118000</x:v>
      </x:c>
      <x:c r="E6" s="38" t="str">
        <x:v>원준석, 장현우, 김진현, 이준영, Manager Choi</x:v>
      </x:c>
      <x:c r="F6" s="38" t="str">
        <x:v>Manager Choi</x:v>
      </x:c>
      <x:c r="G6" s="26" t="n">
        <x:v>4</x:v>
      </x:c>
      <x:c r="H6" s="35" t="n">
        <x:v>29500</x:v>
      </x:c>
      <x:c r="I6" s="110" t="str">
        <x:v>자동 처리</x:v>
      </x:c>
      <x:c r="J6" s="26" t="str">
        <x:v>인사 마스터</x:v>
      </x:c>
    </x:row>
    <x:row r="7" ht="32" customHeight="1">
      <x:c r="A7" s="30" t="n">
        <x:v>46221</x:v>
      </x:c>
      <x:c r="B7" s="27" t="str">
        <x:v>11:40</x:v>
      </x:c>
      <x:c r="C7" s="24" t="str">
        <x:v>방송국 도시락</x:v>
      </x:c>
      <x:c r="D7" s="33" t="n">
        <x:v>132000</x:v>
      </x:c>
      <x:c r="E7" s="39" t="str">
        <x:v>원준석, 장현우, 김진현, 이준영, Manager Choi</x:v>
      </x:c>
      <x:c r="F7" s="39" t="str">
        <x:v>Manager Choi</x:v>
      </x:c>
      <x:c r="G7" s="27" t="n">
        <x:v>4</x:v>
      </x:c>
      <x:c r="H7" s="36" t="n">
        <x:v>33000</x:v>
      </x:c>
      <x:c r="I7" s="111" t="str">
        <x:v>승인 대기</x:v>
      </x:c>
      <x:c r="J7" s="27" t="str">
        <x:v>인사 마스터</x:v>
      </x:c>
    </x:row>
    <x:row r="8" ht="32" customHeight="1">
      <x:c r="A8" s="30" t="n">
        <x:v>46224</x:v>
      </x:c>
      <x:c r="B8" s="27" t="str">
        <x:v>12:05</x:v>
      </x:c>
      <x:c r="C8" s="24" t="str">
        <x:v>라디오 대기 식사</x:v>
      </x:c>
      <x:c r="D8" s="33" t="n">
        <x:v>54000</x:v>
      </x:c>
      <x:c r="E8" s="39" t="str">
        <x:v>원준석, 장현우, 김진현, 이준영, Manager Choi</x:v>
      </x:c>
      <x:c r="F8" s="39" t="str">
        <x:v>Manager Choi</x:v>
      </x:c>
      <x:c r="G8" s="27" t="n">
        <x:v>4</x:v>
      </x:c>
      <x:c r="H8" s="36" t="n">
        <x:v>13500</x:v>
      </x:c>
      <x:c r="I8" s="111" t="str">
        <x:v>승인 대기</x:v>
      </x:c>
      <x:c r="J8" s="27" t="str">
        <x:v>인사 마스터</x:v>
      </x:c>
    </x:row>
    <x:row r="9" ht="32" customHeight="1">
      <x:c r="A9" s="31" t="n">
        <x:v>46224</x:v>
      </x:c>
      <x:c r="B9" s="28" t="str">
        <x:v>12:30</x:v>
      </x:c>
      <x:c r="C9" s="25" t="str">
        <x:v>라디오 추가 음료</x:v>
      </x:c>
      <x:c r="D9" s="34" t="n">
        <x:v>24000</x:v>
      </x:c>
      <x:c r="E9" s="40" t="str">
        <x:v>원준석, 장현우, 김진현, 이준영, Manager Choi</x:v>
      </x:c>
      <x:c r="F9" s="40" t="str">
        <x:v>Manager Choi</x:v>
      </x:c>
      <x:c r="G9" s="28" t="n">
        <x:v>4</x:v>
      </x:c>
      <x:c r="H9" s="37" t="n">
        <x:v>6000</x:v>
      </x:c>
      <x:c r="I9" s="112" t="str">
        <x:v>승인 대기</x:v>
      </x:c>
      <x:c r="J9" s="28" t="str">
        <x:v>인사 마스터</x:v>
      </x:c>
    </x:row>
    <x:row r="10">
      <x:c r="A10" s="72" t="n">
        <x:v>46224</x:v>
      </x:c>
      <x:c r="B10" s="73" t="str">
        <x:v>12:50</x:v>
      </x:c>
      <x:c r="C10" s="65" t="str">
        <x:v>라디오 간식 결제</x:v>
      </x:c>
      <x:c r="D10" s="80" t="n">
        <x:v>36000</x:v>
      </x:c>
      <x:c r="E10" s="65" t="str">
        <x:v>원준석, 장현우, 김진현, 이준영, Manager Choi</x:v>
      </x:c>
      <x:c r="F10" s="73" t="str">
        <x:v>Manager Choi</x:v>
      </x:c>
      <x:c r="G10" s="76" t="n">
        <x:v>4</x:v>
      </x:c>
      <x:c r="H10" s="77" t="n">
        <x:v>9000</x:v>
      </x:c>
      <x:c r="I10" s="113" t="str">
        <x:v>승인 대기</x:v>
      </x:c>
      <x:c r="J10" s="73" t="str">
        <x:v>인사 마스터</x:v>
      </x:c>
    </x:row>
    <x:row r="11">
      <x:c r="A11" s="72"/>
      <x:c r="B11" s="73"/>
      <x:c r="C11" s="65"/>
      <x:c r="D11" s="80"/>
      <x:c r="E11" s="65"/>
      <x:c r="F11" s="73"/>
      <x:c r="G11" s="76"/>
      <x:c r="H11" s="77"/>
      <x:c r="I11" s="73"/>
      <x:c r="J11" s="73"/>
    </x:row>
    <x:row r="12">
      <x:c r="A12" s="72"/>
      <x:c r="B12" s="73"/>
      <x:c r="C12" s="65"/>
      <x:c r="D12" s="80"/>
      <x:c r="E12" s="65"/>
      <x:c r="F12" s="73"/>
      <x:c r="G12" s="76"/>
      <x:c r="H12" s="77"/>
      <x:c r="I12" s="73"/>
      <x:c r="J12" s="73"/>
    </x:row>
    <x:row r="13">
      <x:c r="A13" s="74"/>
      <x:c r="B13" s="75"/>
      <x:c r="C13" s="69"/>
      <x:c r="D13" s="81"/>
      <x:c r="E13" s="69"/>
      <x:c r="F13" s="75"/>
      <x:c r="G13" s="78"/>
      <x:c r="H13" s="79"/>
      <x:c r="I13" s="75"/>
      <x:c r="J13" s="75"/>
    </x:row>
    <x:row r="14">
      <x:c r="A14" s="90"/>
      <x:c r="B14" s="92"/>
      <x:c r="C14" s="86"/>
      <x:c r="D14" s="96"/>
      <x:c r="E14" s="86"/>
      <x:c r="F14" s="92"/>
      <x:c r="G14" s="100"/>
      <x:c r="H14" s="102"/>
      <x:c r="I14" s="108"/>
      <x:c r="J14" s="92"/>
    </x:row>
    <x:row r="15">
      <x:c r="A15" s="91"/>
      <x:c r="B15" s="93"/>
      <x:c r="C15" s="87"/>
      <x:c r="D15" s="97"/>
      <x:c r="E15" s="87"/>
      <x:c r="F15" s="93"/>
      <x:c r="G15" s="101"/>
      <x:c r="H15" s="103"/>
      <x:c r="I15" s="109"/>
      <x:c r="J15" s="93"/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d91234efe092456d"/>
  </x:tableParts>
</x:worksheet>
</file>