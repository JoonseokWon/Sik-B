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47bb49041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ildol 식사" sheetId="1" r:id="Rf267a855b1394234"/>
    <x:sheet xmlns:r="http://schemas.openxmlformats.org/officeDocument/2006/relationships" name="삼데헌 식사" sheetId="2" r:id="Rea6bde29bd03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원&quot;"/>
    <x:numFmt numFmtId="201" formatCode="yyyy-mm-dd"/>
  </x:numFmts>
  <x:fonts count="6">
    <x:font>
      <x:sz val="11"/>
      <x:name val="Carlito"/>
    </x:font>
    <x:font>
      <x:b/>
      <x:sz val="17"/>
      <x:color rgb="FFFFFFFF"/>
      <x:name val="맑은 고딕"/>
    </x:font>
    <x:font>
      <x:sz val="10"/>
      <x:color rgb="FF155866"/>
      <x:name val="맑은 고딕"/>
    </x:font>
    <x:font>
      <x:b/>
      <x:sz val="10"/>
      <x:color rgb="FF7F6000"/>
      <x:name val="맑은 고딕"/>
    </x:font>
    <x:font>
      <x:b/>
      <x:sz val="10"/>
      <x:color rgb="FFFFFFFF"/>
      <x:name val="맑은 고딕"/>
    </x:font>
    <x:font>
      <x:sz val="10"/>
      <x:color rgb="FF1D252C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55866"/>
      </x:patternFill>
    </x:fill>
    <x:fill>
      <x:patternFill patternType="solid">
        <x:fgColor rgb="FFE9EEF1"/>
      </x:patternFill>
    </x:fill>
    <x:fill>
      <x:patternFill patternType="solid">
        <x:fgColor rgb="FFFFF2CC"/>
      </x:patternFill>
    </x:fill>
    <x:fill>
      <x:patternFill patternType="solid">
        <x:fgColor rgb="FF1F7A8C"/>
      </x:patternFill>
    </x:fill>
  </x:fills>
  <x:borders count="6">
    <x:border/>
    <x:border>
      <x:left style="thin">
        <x:color rgb="FFE0A458"/>
      </x:left>
      <x:top style="thin">
        <x:color rgb="FFE0A458"/>
      </x:top>
      <x:bottom style="thin">
        <x:color rgb="FFE0A458"/>
      </x:bottom>
    </x:border>
    <x:border>
      <x:right style="thin">
        <x:color rgb="FFE0A458"/>
      </x:right>
      <x:top style="thin">
        <x:color rgb="FFE0A458"/>
      </x:top>
      <x:bottom style="thin">
        <x:color rgb="FFE0A458"/>
      </x:bottom>
    </x:border>
    <x:border>
      <x:bottom style="thin">
        <x:color rgb="FFDFE6EA"/>
      </x:bottom>
    </x:border>
    <x:border>
      <x:top style="thin">
        <x:color rgb="FFDFE6EA"/>
      </x:top>
      <x:bottom style="thin">
        <x:color rgb="FFDFE6EA"/>
      </x:bottom>
    </x:border>
    <x:border>
      <x:top style="thin">
        <x:color rgb="FFDFE6EA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F4B4B"/>
      </x:font>
      <x:fill>
        <x:patternFill patternType="solid">
          <x:bgColor rgb="FFFCE4D6"/>
        </x:patternFill>
      </x:fill>
    </x:dxf>
    <x:dxf>
      <x:font>
        <x:color rgb="FF28785F"/>
      </x:font>
      <x:fill>
        <x:patternFill patternType="solid">
          <x:bgColor rgb="FFE2F0D9"/>
        </x:patternFill>
      </x:fill>
    </x:dxf>
    <x:dxf>
      <x:font>
        <x:b/>
        <x:color rgb="FFBF4B4B"/>
      </x:font>
      <x:fill>
        <x:patternFill patternType="solid">
          <x:bgColor rgb="FFFCE4D6"/>
        </x:patternFill>
      </x:fill>
    </x:dxf>
    <x:dxf>
      <x:font>
        <x:color rgb="FF28785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bdb86aaab452e" /><Relationship Type="http://schemas.openxmlformats.org/officeDocument/2006/relationships/theme" Target="/xl/theme/theme1.xml" Id="Recbf211a49a74ef1" /><Relationship Type="http://schemas.openxmlformats.org/officeDocument/2006/relationships/sharedStrings" Target="/xl/sharedStrings.xml" Id="R3928914ca4994b64" /><Relationship Type="http://schemas.openxmlformats.org/officeDocument/2006/relationships/worksheet" Target="/xl/worksheets/sheet1.xml" Id="Rf267a855b1394234" /><Relationship Type="http://schemas.openxmlformats.org/officeDocument/2006/relationships/worksheet" Target="/xl/worksheets/sheet2.xml" Id="Rea6bde29bd0341c9" /></Relationships>
</file>

<file path=xl/tables/table1.xml><?xml version="1.0" encoding="utf-8"?>
<x:table xmlns:x="http://schemas.openxmlformats.org/spreadsheetml/2006/main" id="1" name="SamildolMealsTable" displayName="SamildolMealsTable" ref="A5:J9" headerRowCount="1" totalsRowCount="0" totalsRowShown="0">
  <x:autoFilter ref="A5:J9"/>
  <x:tableColumns count="10">
    <x:tableColumn id="1" name="날짜"/>
    <x:tableColumn id="2" name="결제 시간"/>
    <x:tableColumn id="3" name="내역"/>
    <x:tableColumn id="4" name="실제 식비"/>
    <x:tableColumn id="5" name="예상 식사인원"/>
    <x:tableColumn id="6" name="정산 제외"/>
    <x:tableColumn id="7" name="정산 대상 수"/>
    <x:tableColumn id="8" name="1인 금액"/>
    <x:tableColumn id="9" name="승인 상태"/>
    <x:tableColumn id="10" name="승인권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deheonMealsTable" displayName="SamdeheonMealsTable" ref="A5:J9" headerRowCount="1" totalsRowCount="0" totalsRowShown="0">
  <x:autoFilter ref="A5:J9"/>
  <x:tableColumns count="10">
    <x:tableColumn id="1" name="날짜"/>
    <x:tableColumn id="2" name="결제 시간"/>
    <x:tableColumn id="3" name="내역"/>
    <x:tableColumn id="4" name="실제 식비"/>
    <x:tableColumn id="5" name="예상 식사인원"/>
    <x:tableColumn id="6" name="정산 제외"/>
    <x:tableColumn id="7" name="정산 대상 수"/>
    <x:tableColumn id="8" name="1인 금액"/>
    <x:tableColumn id="9" name="승인 상태"/>
    <x:tableColumn id="10" name="승인권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7ec0110ab940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4aa871733448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15" hidden="0" customWidth="1"/>
    <x:col min="5" max="5" width="43" hidden="0" customWidth="1"/>
    <x:col min="6" max="6" width="18" hidden="0" customWidth="1"/>
    <x:col min="7" max="7" width="14" hidden="0" customWidth="1"/>
    <x:col min="8" max="8" width="15" hidden="0" customWidth="1"/>
    <x:col min="9" max="9" width="15" hidden="0" customWidth="1"/>
    <x:col min="10" max="10" width="16" hidden="0" customWidth="1"/>
  </x:cols>
  <x:sheetData>
    <x:row r="1" ht="36" customHeight="1">
      <x:c r="A1" s="3" t="str">
        <x:v>Food-Fee Samildol 식사 샘플데이터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정산 기간 2026-07-01 ~ 2026-07-15 , 앱 기본 더미 식비와 동일 , 특이 사항/배분 제외 사례 없음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I3" s="11" t="str">
        <x:v>1인 승인 기준</x:v>
      </x:c>
      <x:c r="J3" s="13" t="n">
        <x:v>30000</x:v>
      </x:c>
    </x:row>
    <x:row r="5" ht="30" customHeight="1">
      <x:c r="A5" s="18" t="str">
        <x:v>날짜</x:v>
      </x:c>
      <x:c r="B5" s="18" t="str">
        <x:v>결제 시간</x:v>
      </x:c>
      <x:c r="C5" s="18" t="str">
        <x:v>내역</x:v>
      </x:c>
      <x:c r="D5" s="18" t="str">
        <x:v>실제 식비</x:v>
      </x:c>
      <x:c r="E5" s="18" t="str">
        <x:v>예상 식사인원</x:v>
      </x:c>
      <x:c r="F5" s="18" t="str">
        <x:v>정산 제외</x:v>
      </x:c>
      <x:c r="G5" s="18" t="str">
        <x:v>정산 대상 수</x:v>
      </x:c>
      <x:c r="H5" s="18" t="str">
        <x:v>1인 금액</x:v>
      </x:c>
      <x:c r="I5" s="18" t="str">
        <x:v>승인 상태</x:v>
      </x:c>
      <x:c r="J5" s="18" t="str">
        <x:v>승인권자</x:v>
      </x:c>
    </x:row>
    <x:row r="6" ht="32" customHeight="1">
      <x:c r="A6" s="29" t="n">
        <x:v>46204</x:v>
      </x:c>
      <x:c r="B6" s="26" t="str">
        <x:v>12:00</x:v>
      </x:c>
      <x:c r="C6" s="23" t="str">
        <x:v>배민 연습실 식사</x:v>
      </x:c>
      <x:c r="D6" s="32" t="n">
        <x:v>92000</x:v>
      </x:c>
      <x:c r="E6" s="38" t="str">
        <x:v>Haru, Min, Seo, Lia, Manager Park</x:v>
      </x:c>
      <x:c r="F6" s="38" t="str">
        <x:v>Manager Park</x:v>
      </x:c>
      <x:c r="G6" s="26" t="n">
        <x:v>4</x:v>
      </x:c>
      <x:c r="H6" s="35" t="n">
        <x:f>ROUND(D6/G6,0)</x:f>
        <x:v>23000</x:v>
      </x:c>
      <x:c r="I6" s="26" t="str">
        <x:f>IF(H6&gt;$J$3,"승인 대기","자동 처리")</x:f>
        <x:v>자동 처리</x:v>
      </x:c>
      <x:c r="J6" s="26" t="str">
        <x:v>인사 마스터</x:v>
      </x:c>
    </x:row>
    <x:row r="7" ht="32" customHeight="1">
      <x:c r="A7" s="30" t="n">
        <x:v>46206</x:v>
      </x:c>
      <x:c r="B7" s="27" t="str">
        <x:v>12:00</x:v>
      </x:c>
      <x:c r="C7" s="24" t="str">
        <x:v>음악방송 도시락</x:v>
      </x:c>
      <x:c r="D7" s="33" t="n">
        <x:v>165000</x:v>
      </x:c>
      <x:c r="E7" s="39" t="str">
        <x:v>Haru, Min, Seo, Lia, Noa, Manager Park</x:v>
      </x:c>
      <x:c r="F7" s="39" t="str">
        <x:v>Manager Park</x:v>
      </x:c>
      <x:c r="G7" s="27" t="n">
        <x:v>5</x:v>
      </x:c>
      <x:c r="H7" s="36" t="n">
        <x:f>ROUND(D7/G7,0)</x:f>
        <x:v>33000</x:v>
      </x:c>
      <x:c r="I7" s="27" t="str">
        <x:f>IF(H7&gt;$J$3,"승인 대기","자동 처리")</x:f>
        <x:v>승인 대기</x:v>
      </x:c>
      <x:c r="J7" s="27" t="str">
        <x:v>인사 마스터</x:v>
      </x:c>
    </x:row>
    <x:row r="8" ht="32" customHeight="1">
      <x:c r="A8" s="30" t="n">
        <x:v>46209</x:v>
      </x:c>
      <x:c r="B8" s="27" t="str">
        <x:v>12:00</x:v>
      </x:c>
      <x:c r="C8" s="24" t="str">
        <x:v>라디오 대기 간식</x:v>
      </x:c>
      <x:c r="D8" s="33" t="n">
        <x:v>48000</x:v>
      </x:c>
      <x:c r="E8" s="39" t="str">
        <x:v>Min, Seo, Manager Park</x:v>
      </x:c>
      <x:c r="F8" s="39" t="str">
        <x:v>Manager Park</x:v>
      </x:c>
      <x:c r="G8" s="27" t="n">
        <x:v>2</x:v>
      </x:c>
      <x:c r="H8" s="36" t="n">
        <x:f>ROUND(D8/G8,0)</x:f>
        <x:v>24000</x:v>
      </x:c>
      <x:c r="I8" s="27" t="str">
        <x:f>IF(H8&gt;$J$3,"승인 대기","자동 처리")</x:f>
        <x:v>자동 처리</x:v>
      </x:c>
      <x:c r="J8" s="27" t="str">
        <x:v>인사 마스터</x:v>
      </x:c>
    </x:row>
    <x:row r="9" ht="32" customHeight="1">
      <x:c r="A9" s="31" t="n">
        <x:v>46212</x:v>
      </x:c>
      <x:c r="B9" s="28" t="str">
        <x:v>12:00</x:v>
      </x:c>
      <x:c r="C9" s="25" t="str">
        <x:v>안무 연습 일식</x:v>
      </x:c>
      <x:c r="D9" s="34" t="n">
        <x:v>74000</x:v>
      </x:c>
      <x:c r="E9" s="40" t="str">
        <x:v>Haru, Lia, Noa, Manager Park</x:v>
      </x:c>
      <x:c r="F9" s="40" t="str">
        <x:v>Manager Park</x:v>
      </x:c>
      <x:c r="G9" s="28" t="n">
        <x:v>3</x:v>
      </x:c>
      <x:c r="H9" s="37" t="n">
        <x:f>ROUND(D9/G9,0)</x:f>
        <x:v>24667</x:v>
      </x:c>
      <x:c r="I9" s="28" t="str">
        <x:f>IF(H9&gt;$J$3,"승인 대기","자동 처리")</x:f>
        <x:v>자동 처리</x:v>
      </x:c>
      <x:c r="J9" s="28" t="str">
        <x:v>인사 마스터</x:v>
      </x:c>
    </x:row>
  </x:sheetData>
  <x:mergeCells>
    <x:mergeCell ref="A1:J1"/>
    <x:mergeCell ref="A2:J2"/>
  </x:mergeCells>
  <x:conditionalFormatting sqref="I6:I9">
    <x:cfRule type="containsText" dxfId="0" priority="1" operator="containsText" text="승인 대기"/>
    <x:cfRule type="containsText" dxfId="1" priority="2" operator="containsText" text="자동 처리"/>
  </x:conditionalFormatting>
  <x:pageMargins left="0.7" right="0.7" top="0.75" bottom="0.75" header="0.3" footer="0.3"/>
  <x:tableParts count="1">
    <x:tablePart xmlns:r="http://schemas.openxmlformats.org/officeDocument/2006/relationships" r:id="R557ec0110ab940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15" hidden="0" customWidth="1"/>
    <x:col min="5" max="5" width="43" hidden="0" customWidth="1"/>
    <x:col min="6" max="6" width="18" hidden="0" customWidth="1"/>
    <x:col min="7" max="7" width="14" hidden="0" customWidth="1"/>
    <x:col min="8" max="8" width="15" hidden="0" customWidth="1"/>
    <x:col min="9" max="9" width="15" hidden="0" customWidth="1"/>
    <x:col min="10" max="10" width="16" hidden="0" customWidth="1"/>
  </x:cols>
  <x:sheetData>
    <x:row r="1" ht="36" customHeight="1">
      <x:c r="A1" s="3" t="str">
        <x:v>Food-Fee 삼데헌 식사 샘플데이터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정산 기간 2026-07-16 ~ 2026-07-31 , 앱 기본 더미 식비와 동일 , 특이 사항/배분 제외 사례 없음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I3" s="11" t="str">
        <x:v>1인 승인 기준</x:v>
      </x:c>
      <x:c r="J3" s="13" t="n">
        <x:v>30000</x:v>
      </x:c>
    </x:row>
    <x:row r="5" ht="30" customHeight="1">
      <x:c r="A5" s="18" t="str">
        <x:v>날짜</x:v>
      </x:c>
      <x:c r="B5" s="18" t="str">
        <x:v>결제 시간</x:v>
      </x:c>
      <x:c r="C5" s="18" t="str">
        <x:v>내역</x:v>
      </x:c>
      <x:c r="D5" s="18" t="str">
        <x:v>실제 식비</x:v>
      </x:c>
      <x:c r="E5" s="18" t="str">
        <x:v>예상 식사인원</x:v>
      </x:c>
      <x:c r="F5" s="18" t="str">
        <x:v>정산 제외</x:v>
      </x:c>
      <x:c r="G5" s="18" t="str">
        <x:v>정산 대상 수</x:v>
      </x:c>
      <x:c r="H5" s="18" t="str">
        <x:v>1인 금액</x:v>
      </x:c>
      <x:c r="I5" s="18" t="str">
        <x:v>승인 상태</x:v>
      </x:c>
      <x:c r="J5" s="18" t="str">
        <x:v>승인권자</x:v>
      </x:c>
    </x:row>
    <x:row r="6" ht="32" customHeight="1">
      <x:c r="A6" s="29" t="n">
        <x:v>46219</x:v>
      </x:c>
      <x:c r="B6" s="26" t="str">
        <x:v>12:15</x:v>
      </x:c>
      <x:c r="C6" s="23" t="str">
        <x:v>합주실 점심</x:v>
      </x:c>
      <x:c r="D6" s="32" t="n">
        <x:v>118000</x:v>
      </x:c>
      <x:c r="E6" s="38" t="str">
        <x:v>원준석, 장현우, 김진현, 이준영, Manager Choi</x:v>
      </x:c>
      <x:c r="F6" s="38" t="str">
        <x:v>Manager Choi</x:v>
      </x:c>
      <x:c r="G6" s="26" t="n">
        <x:v>4</x:v>
      </x:c>
      <x:c r="H6" s="35" t="n">
        <x:f>ROUND(D6/G6,0)</x:f>
        <x:v>29500</x:v>
      </x:c>
      <x:c r="I6" s="26" t="str">
        <x:f>IF(H6&gt;$J$3,"승인 대기","자동 처리")</x:f>
        <x:v>자동 처리</x:v>
      </x:c>
      <x:c r="J6" s="26" t="str">
        <x:v>인사 마스터</x:v>
      </x:c>
    </x:row>
    <x:row r="7" ht="32" customHeight="1">
      <x:c r="A7" s="30" t="n">
        <x:v>46221</x:v>
      </x:c>
      <x:c r="B7" s="27" t="str">
        <x:v>11:40</x:v>
      </x:c>
      <x:c r="C7" s="24" t="str">
        <x:v>방송국 도시락</x:v>
      </x:c>
      <x:c r="D7" s="33" t="n">
        <x:v>132000</x:v>
      </x:c>
      <x:c r="E7" s="39" t="str">
        <x:v>원준석, 장현우, 김진현, 이준영, Manager Choi</x:v>
      </x:c>
      <x:c r="F7" s="39" t="str">
        <x:v>Manager Choi</x:v>
      </x:c>
      <x:c r="G7" s="27" t="n">
        <x:v>4</x:v>
      </x:c>
      <x:c r="H7" s="36" t="n">
        <x:f>ROUND(D7/G7,0)</x:f>
        <x:v>33000</x:v>
      </x:c>
      <x:c r="I7" s="27" t="str">
        <x:f>IF(H7&gt;$J$3,"승인 대기","자동 처리")</x:f>
        <x:v>승인 대기</x:v>
      </x:c>
      <x:c r="J7" s="27" t="str">
        <x:v>인사 마스터</x:v>
      </x:c>
    </x:row>
    <x:row r="8" ht="32" customHeight="1">
      <x:c r="A8" s="30" t="n">
        <x:v>46224</x:v>
      </x:c>
      <x:c r="B8" s="27" t="str">
        <x:v>18:10</x:v>
      </x:c>
      <x:c r="C8" s="24" t="str">
        <x:v>라디오 대기 식사</x:v>
      </x:c>
      <x:c r="D8" s="33" t="n">
        <x:v>54000</x:v>
      </x:c>
      <x:c r="E8" s="39" t="str">
        <x:v>장현우, 김진현, Manager Choi</x:v>
      </x:c>
      <x:c r="F8" s="39" t="str">
        <x:v>Manager Choi</x:v>
      </x:c>
      <x:c r="G8" s="27" t="n">
        <x:v>2</x:v>
      </x:c>
      <x:c r="H8" s="36" t="n">
        <x:f>ROUND(D8/G8,0)</x:f>
        <x:v>27000</x:v>
      </x:c>
      <x:c r="I8" s="27" t="str">
        <x:f>IF(H8&gt;$J$3,"승인 대기","자동 처리")</x:f>
        <x:v>자동 처리</x:v>
      </x:c>
      <x:c r="J8" s="27" t="str">
        <x:v>인사 마스터</x:v>
      </x:c>
    </x:row>
    <x:row r="9" ht="32" customHeight="1">
      <x:c r="A9" s="31" t="n">
        <x:v>46228</x:v>
      </x:c>
      <x:c r="B9" s="28" t="str">
        <x:v>19:05</x:v>
      </x:c>
      <x:c r="C9" s="25" t="str">
        <x:v>팬미팅 리허설 저녁</x:v>
      </x:c>
      <x:c r="D9" s="34" t="n">
        <x:v>126000</x:v>
      </x:c>
      <x:c r="E9" s="40" t="str">
        <x:v>원준석, 장현우, 김진현, 이준영, Manager Choi</x:v>
      </x:c>
      <x:c r="F9" s="40" t="str">
        <x:v>Manager Choi</x:v>
      </x:c>
      <x:c r="G9" s="28" t="n">
        <x:v>4</x:v>
      </x:c>
      <x:c r="H9" s="37" t="n">
        <x:f>ROUND(D9/G9,0)</x:f>
        <x:v>31500</x:v>
      </x:c>
      <x:c r="I9" s="28" t="str">
        <x:f>IF(H9&gt;$J$3,"승인 대기","자동 처리")</x:f>
        <x:v>승인 대기</x:v>
      </x:c>
      <x:c r="J9" s="28" t="str">
        <x:v>인사 마스터</x:v>
      </x:c>
    </x:row>
  </x:sheetData>
  <x:mergeCells>
    <x:mergeCell ref="A1:J1"/>
    <x:mergeCell ref="A2:J2"/>
  </x:mergeCells>
  <x:conditionalFormatting sqref="I6:I9">
    <x:cfRule type="containsText" dxfId="2" priority="1" operator="containsText" text="승인 대기"/>
    <x:cfRule type="containsText" dxfId="3" priority="2" operator="containsText" text="자동 처리"/>
  </x:conditionalFormatting>
  <x:pageMargins left="0.7" right="0.7" top="0.75" bottom="0.75" header="0.3" footer="0.3"/>
  <x:tableParts count="1">
    <x:tablePart xmlns:r="http://schemas.openxmlformats.org/officeDocument/2006/relationships" r:id="Rc24aa87173344835"/>
  </x:tableParts>
</x:worksheet>
</file>