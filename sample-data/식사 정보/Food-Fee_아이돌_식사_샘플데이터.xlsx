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70df3170743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66b5b294035c4c9c"/>
    <x:sheet xmlns:r="http://schemas.openxmlformats.org/officeDocument/2006/relationships" name="삼데헌 식사" sheetId="2" r:id="R0b7446a09a8d49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7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</x:fills>
  <x:borders count="6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3328bd26204a54" /><Relationship Type="http://schemas.openxmlformats.org/officeDocument/2006/relationships/theme" Target="/xl/theme/theme1.xml" Id="R82c096c7af2d4583" /><Relationship Type="http://schemas.openxmlformats.org/officeDocument/2006/relationships/sharedStrings" Target="/xl/sharedStrings.xml" Id="R31c4e65a53fd4d9a" /><Relationship Type="http://schemas.openxmlformats.org/officeDocument/2006/relationships/worksheet" Target="/xl/worksheets/sheet1.xml" Id="R66b5b294035c4c9c" /><Relationship Type="http://schemas.openxmlformats.org/officeDocument/2006/relationships/worksheet" Target="/xl/worksheets/sheet2.xml" Id="R0b7446a09a8d49b5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edee2ff12841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7623986506b46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파일 전용 추가 식사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46204</x:v>
      </x:c>
      <x:c r="B6" s="26" t="str">
        <x:v>12:00</x:v>
      </x:c>
      <x:c r="C6" s="23" t="str">
        <x:v>배민 연습실 식사</x:v>
      </x:c>
      <x:c r="D6" s="32" t="n">
        <x:v>92000</x:v>
      </x:c>
      <x:c r="E6" s="38" t="str">
        <x:v>Haru, Min, Seo, Lia, Manager Park</x:v>
      </x:c>
      <x:c r="F6" s="38" t="str">
        <x:v>Manager Park</x:v>
      </x:c>
      <x:c r="G6" s="26" t="n">
        <x:v>4</x:v>
      </x:c>
      <x:c r="H6" s="35" t="n">
        <x:f>ROUND(D6/G6,0)</x:f>
        <x:v>23000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46206</x:v>
      </x:c>
      <x:c r="B7" s="27" t="str">
        <x:v>12:00</x:v>
      </x:c>
      <x:c r="C7" s="24" t="str">
        <x:v>음악방송 도시락</x:v>
      </x:c>
      <x:c r="D7" s="33" t="n">
        <x:v>165000</x:v>
      </x:c>
      <x:c r="E7" s="39" t="str">
        <x:v>Haru, Min, Seo, Lia, Noa, Manager Park</x:v>
      </x:c>
      <x:c r="F7" s="39" t="str">
        <x:v>Manager Park</x:v>
      </x:c>
      <x:c r="G7" s="27" t="n">
        <x:v>5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46209</x:v>
      </x:c>
      <x:c r="B8" s="27" t="str">
        <x:v>12:00</x:v>
      </x:c>
      <x:c r="C8" s="24" t="str">
        <x:v>라디오 대기 간식</x:v>
      </x:c>
      <x:c r="D8" s="33" t="n">
        <x:v>48000</x:v>
      </x:c>
      <x:c r="E8" s="39" t="str">
        <x:v>Min, Seo, Manager Park</x:v>
      </x:c>
      <x:c r="F8" s="39" t="str">
        <x:v>Manager Park</x:v>
      </x:c>
      <x:c r="G8" s="27" t="n">
        <x:v>2</x:v>
      </x:c>
      <x:c r="H8" s="36" t="n">
        <x:f>ROUND(D8/G8,0)</x:f>
        <x:v>24000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46212</x:v>
      </x:c>
      <x:c r="B9" s="28" t="str">
        <x:v>12:00</x:v>
      </x:c>
      <x:c r="C9" s="25" t="str">
        <x:v>안무 연습 일식</x:v>
      </x:c>
      <x:c r="D9" s="34" t="n">
        <x:v>74000</x:v>
      </x:c>
      <x:c r="E9" s="40" t="str">
        <x:v>Haru, Lia, Noa, Manager Park</x:v>
      </x:c>
      <x:c r="F9" s="40" t="str">
        <x:v>Manager Park</x:v>
      </x:c>
      <x:c r="G9" s="28" t="n">
        <x:v>3</x:v>
      </x:c>
      <x:c r="H9" s="37" t="n">
        <x:f>ROUND(D9/G9,0)</x:f>
        <x:v>24667</x:v>
      </x:c>
      <x:c r="I9" s="28" t="str">
        <x:f>IF(H9&gt;$J$3,"승인 대기","자동 처리")</x:f>
        <x:v>자동 처리</x:v>
      </x:c>
      <x:c r="J9" s="28" t="str">
        <x:v>인사 마스터</x:v>
      </x:c>
    </x:row>
    <x:row r="10">
      <x:c r="A10" s="72" t="n">
        <x:v>46214</x:v>
      </x:c>
      <x:c r="B10" s="73" t="str">
        <x:v>18:30</x:v>
      </x:c>
      <x:c r="C10" s="65" t="str">
        <x:v>팬미팅 연습 저녁</x:v>
      </x:c>
      <x:c r="D10" s="80" t="n">
        <x:v>145000</x:v>
      </x:c>
      <x:c r="E10" s="65" t="str">
        <x:v>Haru, Min, Seo, Lia, Noa, Manager Park</x:v>
      </x:c>
      <x:c r="F10" s="73" t="str">
        <x:v>Manager Park</x:v>
      </x:c>
      <x:c r="G10" s="76" t="n">
        <x:v>5</x:v>
      </x:c>
      <x:c r="H10" s="77" t="n">
        <x:f>ROUND(D10/G10,0)</x:f>
        <x:v>29000</x:v>
      </x:c>
      <x:c r="I10" s="73" t="str">
        <x:f>IF(H10&gt;$J$3,"승인 대기","자동 처리")</x:f>
        <x:v>자동 처리</x:v>
      </x:c>
      <x:c r="J10" s="73" t="str">
        <x:v>인사 마스터</x:v>
      </x:c>
    </x:row>
    <x:row r="11">
      <x:c r="A11" s="72" t="n">
        <x:v>46215</x:v>
      </x:c>
      <x:c r="B11" s="73" t="str">
        <x:v>12:10</x:v>
      </x:c>
      <x:c r="C11" s="65" t="str">
        <x:v>콘텐츠 촬영 도시락</x:v>
      </x:c>
      <x:c r="D11" s="80" t="n">
        <x:v>162000</x:v>
      </x:c>
      <x:c r="E11" s="65" t="str">
        <x:v>Haru, Seo, Noa, Manager Park</x:v>
      </x:c>
      <x:c r="F11" s="73" t="str">
        <x:v>Manager Park</x:v>
      </x:c>
      <x:c r="G11" s="76" t="n">
        <x:v>3</x:v>
      </x:c>
      <x:c r="H11" s="77" t="n">
        <x:f>ROUND(D11/G11,0)</x:f>
        <x:v>54000</x:v>
      </x:c>
      <x:c r="I11" s="73" t="str">
        <x:v>승인 완료</x:v>
      </x:c>
      <x:c r="J11" s="73" t="str">
        <x:v>인사 마스터</x:v>
      </x:c>
    </x:row>
    <x:row r="12">
      <x:c r="A12" s="72" t="n">
        <x:v>46216</x:v>
      </x:c>
      <x:c r="B12" s="73" t="str">
        <x:v>13:00</x:v>
      </x:c>
      <x:c r="C12" s="65" t="str">
        <x:v>월간회의 점심</x:v>
      </x:c>
      <x:c r="D12" s="80" t="n">
        <x:v>138000</x:v>
      </x:c>
      <x:c r="E12" s="65" t="str">
        <x:v>Haru, Min, Seo, Lia, Noa, Manager Park</x:v>
      </x:c>
      <x:c r="F12" s="73" t="str">
        <x:v>Manager Park</x:v>
      </x:c>
      <x:c r="G12" s="76" t="n">
        <x:v>5</x:v>
      </x:c>
      <x:c r="H12" s="77" t="n">
        <x:f>ROUND(D12/G12,0)</x:f>
        <x:v>27600</x:v>
      </x:c>
      <x:c r="I12" s="73" t="str">
        <x:f>IF(H12&gt;$J$3,"승인 대기","자동 처리")</x:f>
        <x:v>자동 처리</x:v>
      </x:c>
      <x:c r="J12" s="73" t="str">
        <x:v>인사 마스터</x:v>
      </x:c>
    </x:row>
    <x:row r="13">
      <x:c r="A13" s="74" t="n">
        <x:v>46218</x:v>
      </x:c>
      <x:c r="B13" s="75" t="str">
        <x:v>18:20</x:v>
      </x:c>
      <x:c r="C13" s="69" t="str">
        <x:v>마감 리허설 저녁</x:v>
      </x:c>
      <x:c r="D13" s="81" t="n">
        <x:v>175000</x:v>
      </x:c>
      <x:c r="E13" s="69" t="str">
        <x:v>Haru, Min, Seo, Lia, Noa, Manager Park</x:v>
      </x:c>
      <x:c r="F13" s="75" t="str">
        <x:v>Manager Park</x:v>
      </x:c>
      <x:c r="G13" s="78" t="n">
        <x:v>5</x:v>
      </x:c>
      <x:c r="H13" s="79" t="n">
        <x:f>ROUND(D13/G13,0)</x:f>
        <x:v>35000</x:v>
      </x:c>
      <x:c r="I13" s="75" t="str">
        <x:f>IF(H13&gt;$J$3,"승인 대기","자동 처리")</x:f>
        <x:v>승인 대기</x:v>
      </x:c>
      <x:c r="J13" s="75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caedee2ff128417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2026-07-31 , 파일 전용 추가 식사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46219</x:v>
      </x:c>
      <x:c r="B6" s="26" t="str">
        <x:v>12:15</x:v>
      </x:c>
      <x:c r="C6" s="23" t="str">
        <x:v>합주실 점심</x:v>
      </x:c>
      <x:c r="D6" s="32" t="n">
        <x:v>118000</x:v>
      </x:c>
      <x:c r="E6" s="38" t="str">
        <x:v>원준석, 장현우, 김진현, 이준영, Manager Choi</x:v>
      </x:c>
      <x:c r="F6" s="38" t="str">
        <x:v>Manager Choi</x:v>
      </x:c>
      <x:c r="G6" s="26" t="n">
        <x:v>4</x:v>
      </x:c>
      <x:c r="H6" s="35" t="n">
        <x:f>ROUND(D6/G6,0)</x:f>
        <x:v>29500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46221</x:v>
      </x:c>
      <x:c r="B7" s="27" t="str">
        <x:v>11:40</x:v>
      </x:c>
      <x:c r="C7" s="24" t="str">
        <x:v>방송국 도시락</x:v>
      </x:c>
      <x:c r="D7" s="33" t="n">
        <x:v>132000</x:v>
      </x:c>
      <x:c r="E7" s="39" t="str">
        <x:v>원준석, 장현우, 김진현, 이준영, Manager Choi</x:v>
      </x:c>
      <x:c r="F7" s="39" t="str">
        <x:v>Manager Choi</x:v>
      </x:c>
      <x:c r="G7" s="27" t="n">
        <x:v>4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46224</x:v>
      </x:c>
      <x:c r="B8" s="27" t="str">
        <x:v>18:10</x:v>
      </x:c>
      <x:c r="C8" s="24" t="str">
        <x:v>라디오 대기 식사</x:v>
      </x:c>
      <x:c r="D8" s="33" t="n">
        <x:v>54000</x:v>
      </x:c>
      <x:c r="E8" s="39" t="str">
        <x:v>장현우, 김진현, Manager Choi</x:v>
      </x:c>
      <x:c r="F8" s="39" t="str">
        <x:v>Manager Choi</x:v>
      </x:c>
      <x:c r="G8" s="27" t="n">
        <x:v>2</x:v>
      </x:c>
      <x:c r="H8" s="36" t="n">
        <x:f>ROUND(D8/G8,0)</x:f>
        <x:v>27000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46228</x:v>
      </x:c>
      <x:c r="B9" s="28" t="str">
        <x:v>19:05</x:v>
      </x:c>
      <x:c r="C9" s="25" t="str">
        <x:v>팬미팅 리허설 저녁</x:v>
      </x:c>
      <x:c r="D9" s="34" t="n">
        <x:v>126000</x:v>
      </x:c>
      <x:c r="E9" s="40" t="str">
        <x:v>원준석, 장현우, 김진현, 이준영, Manager Choi</x:v>
      </x:c>
      <x:c r="F9" s="40" t="str">
        <x:v>Manager Choi</x:v>
      </x:c>
      <x:c r="G9" s="28" t="n">
        <x:v>4</x:v>
      </x:c>
      <x:c r="H9" s="37" t="n">
        <x:f>ROUND(D9/G9,0)</x:f>
        <x:v>31500</x:v>
      </x:c>
      <x:c r="I9" s="28" t="str">
        <x:f>IF(H9&gt;$J$3,"승인 대기","자동 처리")</x:f>
        <x:v>승인 대기</x:v>
      </x:c>
      <x:c r="J9" s="28" t="str">
        <x:v>인사 마스터</x:v>
      </x:c>
    </x:row>
    <x:row r="10">
      <x:c r="A10" s="72" t="n">
        <x:v>46229</x:v>
      </x:c>
      <x:c r="B10" s="73" t="str">
        <x:v>12:05</x:v>
      </x:c>
      <x:c r="C10" s="65" t="str">
        <x:v>녹음실 점심</x:v>
      </x:c>
      <x:c r="D10" s="80" t="n">
        <x:v>112000</x:v>
      </x:c>
      <x:c r="E10" s="65" t="str">
        <x:v>원준석, 장현우, 김진현, 이준영, Manager Choi</x:v>
      </x:c>
      <x:c r="F10" s="73" t="str">
        <x:v>Manager Choi</x:v>
      </x:c>
      <x:c r="G10" s="76" t="n">
        <x:v>4</x:v>
      </x:c>
      <x:c r="H10" s="77" t="n">
        <x:f>ROUND(D10/G10,0)</x:f>
        <x:v>28000</x:v>
      </x:c>
      <x:c r="I10" s="73" t="str">
        <x:f>IF(H10&gt;$J$3,"승인 대기","자동 처리")</x:f>
        <x:v>자동 처리</x:v>
      </x:c>
      <x:c r="J10" s="73" t="str">
        <x:v>인사 마스터</x:v>
      </x:c>
    </x:row>
    <x:row r="11">
      <x:c r="A11" s="72" t="n">
        <x:v>46230</x:v>
      </x:c>
      <x:c r="B11" s="73" t="str">
        <x:v>18:30</x:v>
      </x:c>
      <x:c r="C11" s="65" t="str">
        <x:v>안무 연습 저녁</x:v>
      </x:c>
      <x:c r="D11" s="80" t="n">
        <x:v>148000</x:v>
      </x:c>
      <x:c r="E11" s="65" t="str">
        <x:v>원준석, 장현우, 김진현, 이준영, Manager Choi</x:v>
      </x:c>
      <x:c r="F11" s="73" t="str">
        <x:v>Manager Choi</x:v>
      </x:c>
      <x:c r="G11" s="76" t="n">
        <x:v>4</x:v>
      </x:c>
      <x:c r="H11" s="77" t="n">
        <x:f>ROUND(D11/G11,0)</x:f>
        <x:v>37000</x:v>
      </x:c>
      <x:c r="I11" s="73" t="str">
        <x:v>승인 완료</x:v>
      </x:c>
      <x:c r="J11" s="73" t="str">
        <x:v>인사 마스터</x:v>
      </x:c>
    </x:row>
    <x:row r="12">
      <x:c r="A12" s="72" t="n">
        <x:v>46232</x:v>
      </x:c>
      <x:c r="B12" s="73" t="str">
        <x:v>11:55</x:v>
      </x:c>
      <x:c r="C12" s="65" t="str">
        <x:v>방송 리허설 도시락</x:v>
      </x:c>
      <x:c r="D12" s="80" t="n">
        <x:v>124000</x:v>
      </x:c>
      <x:c r="E12" s="65" t="str">
        <x:v>원준석, 장현우, 김진현, 이준영, Manager Choi</x:v>
      </x:c>
      <x:c r="F12" s="73" t="str">
        <x:v>Manager Choi</x:v>
      </x:c>
      <x:c r="G12" s="76" t="n">
        <x:v>4</x:v>
      </x:c>
      <x:c r="H12" s="77" t="n">
        <x:f>ROUND(D12/G12,0)</x:f>
        <x:v>31000</x:v>
      </x:c>
      <x:c r="I12" s="73" t="str">
        <x:f>IF(H12&gt;$J$3,"승인 대기","자동 처리")</x:f>
        <x:v>승인 대기</x:v>
      </x:c>
      <x:c r="J12" s="73" t="str">
        <x:v>인사 마스터</x:v>
      </x:c>
    </x:row>
    <x:row r="13">
      <x:c r="A13" s="74" t="n">
        <x:v>46234</x:v>
      </x:c>
      <x:c r="B13" s="75" t="str">
        <x:v>19:10</x:v>
      </x:c>
      <x:c r="C13" s="69" t="str">
        <x:v>월말 합주 저녁</x:v>
      </x:c>
      <x:c r="D13" s="81" t="n">
        <x:v>108000</x:v>
      </x:c>
      <x:c r="E13" s="69" t="str">
        <x:v>원준석, 장현우, 김진현, 이준영, Manager Choi</x:v>
      </x:c>
      <x:c r="F13" s="75" t="str">
        <x:v>Manager Choi</x:v>
      </x:c>
      <x:c r="G13" s="78" t="n">
        <x:v>4</x:v>
      </x:c>
      <x:c r="H13" s="79" t="n">
        <x:f>ROUND(D13/G13,0)</x:f>
        <x:v>27000</x:v>
      </x:c>
      <x:c r="I13" s="75" t="str">
        <x:f>IF(H13&gt;$J$3,"승인 대기","자동 처리")</x:f>
        <x:v>자동 처리</x:v>
      </x:c>
      <x:c r="J13" s="75" t="str">
        <x:v>인사 마스터</x:v>
      </x:c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d7623986506b4650"/>
  </x:tableParts>
</x:worksheet>
</file>